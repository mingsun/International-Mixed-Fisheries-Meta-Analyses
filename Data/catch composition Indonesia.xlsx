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unmi\Desktop\Post Doc\international mixed fisheries review\Data\"/>
    </mc:Choice>
  </mc:AlternateContent>
  <xr:revisionPtr revIDLastSave="0" documentId="13_ncr:1_{5D1964CE-EB29-4042-AEC3-FE4342F81DE7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2" i="1"/>
  <c r="K2" i="1"/>
  <c r="K11" i="1" l="1"/>
  <c r="J11" i="1" l="1"/>
  <c r="I11" i="1"/>
  <c r="K3" i="1"/>
  <c r="K4" i="1"/>
  <c r="K5" i="1"/>
  <c r="K6" i="1"/>
  <c r="K7" i="1"/>
  <c r="K8" i="1"/>
  <c r="K9" i="1"/>
  <c r="K10" i="1"/>
</calcChain>
</file>

<file path=xl/sharedStrings.xml><?xml version="1.0" encoding="utf-8"?>
<sst xmlns="http://schemas.openxmlformats.org/spreadsheetml/2006/main" count="31" uniqueCount="27">
  <si>
    <t>region</t>
    <phoneticPr fontId="1" type="noConversion"/>
  </si>
  <si>
    <t>case</t>
    <phoneticPr fontId="1" type="noConversion"/>
  </si>
  <si>
    <t>abb.</t>
    <phoneticPr fontId="1" type="noConversion"/>
  </si>
  <si>
    <t>species</t>
    <phoneticPr fontId="1" type="noConversion"/>
  </si>
  <si>
    <t>scientific name</t>
    <phoneticPr fontId="1" type="noConversion"/>
  </si>
  <si>
    <t>data year</t>
    <phoneticPr fontId="1" type="noConversion"/>
  </si>
  <si>
    <t>No. total species</t>
    <phoneticPr fontId="1" type="noConversion"/>
  </si>
  <si>
    <t>total catch</t>
    <phoneticPr fontId="1" type="noConversion"/>
  </si>
  <si>
    <t>DSGF</t>
    <phoneticPr fontId="1" type="noConversion"/>
  </si>
  <si>
    <t>goldband snapper</t>
    <phoneticPr fontId="1" type="noConversion"/>
  </si>
  <si>
    <t>rusty jobfish</t>
    <phoneticPr fontId="1" type="noConversion"/>
  </si>
  <si>
    <t>red-tailed opakapaka</t>
    <phoneticPr fontId="1" type="noConversion"/>
  </si>
  <si>
    <t>ruby snapper</t>
    <phoneticPr fontId="1" type="noConversion"/>
  </si>
  <si>
    <t>malabar snapper</t>
    <phoneticPr fontId="1" type="noConversion"/>
  </si>
  <si>
    <t>red emperor snapper</t>
    <phoneticPr fontId="1" type="noConversion"/>
  </si>
  <si>
    <t>Pristipomoides multidens</t>
  </si>
  <si>
    <t>Aphareus rutilans</t>
  </si>
  <si>
    <t>Pristipomoides typus</t>
  </si>
  <si>
    <t>Etelis sp. (Undescribed)</t>
  </si>
  <si>
    <t>Lutjanus malabaricus</t>
  </si>
  <si>
    <t>Lutjanus sebae</t>
  </si>
  <si>
    <t>catch-dropline</t>
    <phoneticPr fontId="1" type="noConversion"/>
  </si>
  <si>
    <t>catch-longline</t>
    <phoneticPr fontId="1" type="noConversion"/>
  </si>
  <si>
    <t>grass emperor</t>
    <phoneticPr fontId="1" type="noConversion"/>
  </si>
  <si>
    <t>Lethrinus laticaudis</t>
  </si>
  <si>
    <t>non-target</t>
    <phoneticPr fontId="1" type="noConversion"/>
  </si>
  <si>
    <t>Deepwater snapper and grouper fishery in Indonesia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</si>
</sst>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130" zoomScaleNormal="130" workbookViewId="0">
      <selection activeCell="L10" sqref="L10"/>
    </sheetView>
  </sheetViews>
  <sheetFormatPr defaultRowHeight="14.25" x14ac:dyDescent="0.2"/>
  <cols>
    <col min="4" max="4" width="16.875" customWidth="1"/>
    <col min="5" max="5" width="20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</v>
      </c>
      <c r="J1" t="s">
        <v>22</v>
      </c>
    </row>
    <row r="2" spans="1:12" x14ac:dyDescent="0.2">
      <c r="B2" s="1" t="s">
        <v>26</v>
      </c>
      <c r="C2" s="1" t="s">
        <v>8</v>
      </c>
      <c r="D2" s="1" t="s">
        <v>9</v>
      </c>
      <c r="E2" s="2" t="s">
        <v>15</v>
      </c>
      <c r="F2">
        <v>2018</v>
      </c>
      <c r="G2">
        <v>300</v>
      </c>
      <c r="H2">
        <v>100000</v>
      </c>
      <c r="I2">
        <v>0.1865</v>
      </c>
      <c r="K2">
        <f>SUM(I2:J2)</f>
        <v>0.1865</v>
      </c>
      <c r="L2">
        <f>K2*$H$2</f>
        <v>18650</v>
      </c>
    </row>
    <row r="3" spans="1:12" x14ac:dyDescent="0.2">
      <c r="D3" s="1" t="s">
        <v>10</v>
      </c>
      <c r="E3" s="2" t="s">
        <v>16</v>
      </c>
      <c r="I3">
        <v>9.4399999999999998E-2</v>
      </c>
      <c r="K3">
        <f t="shared" ref="K3:K10" si="0">SUM(I3:J3)</f>
        <v>9.4399999999999998E-2</v>
      </c>
      <c r="L3">
        <f t="shared" ref="L3:L11" si="1">K3*$H$2</f>
        <v>9440</v>
      </c>
    </row>
    <row r="4" spans="1:12" x14ac:dyDescent="0.2">
      <c r="D4" s="1" t="s">
        <v>11</v>
      </c>
      <c r="E4" s="2" t="s">
        <v>17</v>
      </c>
      <c r="I4">
        <v>9.2600000000000002E-2</v>
      </c>
      <c r="K4">
        <f t="shared" si="0"/>
        <v>9.2600000000000002E-2</v>
      </c>
      <c r="L4">
        <f t="shared" si="1"/>
        <v>9260</v>
      </c>
    </row>
    <row r="5" spans="1:12" x14ac:dyDescent="0.2">
      <c r="D5" s="1" t="s">
        <v>12</v>
      </c>
      <c r="E5" s="2" t="s">
        <v>18</v>
      </c>
      <c r="I5">
        <v>8.9800000000000005E-2</v>
      </c>
      <c r="K5">
        <f t="shared" si="0"/>
        <v>8.9800000000000005E-2</v>
      </c>
      <c r="L5">
        <f t="shared" si="1"/>
        <v>8980</v>
      </c>
    </row>
    <row r="6" spans="1:12" x14ac:dyDescent="0.2">
      <c r="D6" s="1" t="s">
        <v>13</v>
      </c>
      <c r="E6" s="2" t="s">
        <v>19</v>
      </c>
      <c r="I6">
        <v>7.0900000000000005E-2</v>
      </c>
      <c r="J6">
        <v>0.38179999999999997</v>
      </c>
      <c r="K6">
        <f t="shared" si="0"/>
        <v>0.45269999999999999</v>
      </c>
      <c r="L6">
        <f t="shared" si="1"/>
        <v>45270</v>
      </c>
    </row>
    <row r="7" spans="1:12" x14ac:dyDescent="0.2">
      <c r="D7" s="1" t="s">
        <v>9</v>
      </c>
      <c r="E7" s="2" t="s">
        <v>15</v>
      </c>
      <c r="J7">
        <v>0.22520000000000001</v>
      </c>
      <c r="K7">
        <f t="shared" si="0"/>
        <v>0.22520000000000001</v>
      </c>
      <c r="L7">
        <f t="shared" si="1"/>
        <v>22520</v>
      </c>
    </row>
    <row r="8" spans="1:12" x14ac:dyDescent="0.2">
      <c r="D8" s="1" t="s">
        <v>14</v>
      </c>
      <c r="E8" s="2" t="s">
        <v>20</v>
      </c>
      <c r="J8">
        <v>4.1799999999999997E-2</v>
      </c>
      <c r="K8">
        <f t="shared" si="0"/>
        <v>4.1799999999999997E-2</v>
      </c>
      <c r="L8">
        <f t="shared" si="1"/>
        <v>4180</v>
      </c>
    </row>
    <row r="9" spans="1:12" x14ac:dyDescent="0.2">
      <c r="D9" s="1" t="s">
        <v>11</v>
      </c>
      <c r="E9" s="2" t="s">
        <v>17</v>
      </c>
      <c r="J9">
        <v>3.3099999999999997E-2</v>
      </c>
      <c r="K9">
        <f t="shared" si="0"/>
        <v>3.3099999999999997E-2</v>
      </c>
      <c r="L9">
        <f t="shared" si="1"/>
        <v>3309.9999999999995</v>
      </c>
    </row>
    <row r="10" spans="1:12" x14ac:dyDescent="0.2">
      <c r="D10" s="1" t="s">
        <v>23</v>
      </c>
      <c r="E10" s="2" t="s">
        <v>24</v>
      </c>
      <c r="J10">
        <v>3.5700000000000003E-2</v>
      </c>
      <c r="K10">
        <f t="shared" si="0"/>
        <v>3.5700000000000003E-2</v>
      </c>
      <c r="L10">
        <f t="shared" si="1"/>
        <v>3570.0000000000005</v>
      </c>
    </row>
    <row r="11" spans="1:12" x14ac:dyDescent="0.2">
      <c r="D11" s="1" t="s">
        <v>25</v>
      </c>
      <c r="I11">
        <f>1-SUM(I2:I6)</f>
        <v>0.46579999999999999</v>
      </c>
      <c r="J11">
        <f>1-SUM(J6:J10)</f>
        <v>0.2824000000000001</v>
      </c>
      <c r="K11">
        <f>SUM(I11:J11)</f>
        <v>0.74820000000000009</v>
      </c>
      <c r="L11">
        <f t="shared" si="1"/>
        <v>74820.000000000015</v>
      </c>
    </row>
  </sheetData>
  <phoneticPr fontId="1" type="noConversion"/>
  <pageMargins left="0.7" right="0.7" top="0.75" bottom="0.75" header="0.3" footer="0.3"/>
  <ignoredErrors>
    <ignoredError sqref="K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sunmi</cp:lastModifiedBy>
  <dcterms:created xsi:type="dcterms:W3CDTF">2015-06-05T18:19:34Z</dcterms:created>
  <dcterms:modified xsi:type="dcterms:W3CDTF">2021-04-15T00:56:04Z</dcterms:modified>
</cp:coreProperties>
</file>